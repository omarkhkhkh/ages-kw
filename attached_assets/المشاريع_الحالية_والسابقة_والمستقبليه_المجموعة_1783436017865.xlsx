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خاص بالتسهيلات المجموعة والدلح\تسهيلات 2026\"/>
    </mc:Choice>
  </mc:AlternateContent>
  <xr:revisionPtr revIDLastSave="0" documentId="13_ncr:1_{D8063F16-350F-4079-8EBA-9F8CD75EEBDD}" xr6:coauthVersionLast="36" xr6:coauthVersionMax="36" xr10:uidLastSave="{00000000-0000-0000-0000-000000000000}"/>
  <bookViews>
    <workbookView xWindow="0" yWindow="0" windowWidth="19200" windowHeight="5650" xr2:uid="{7C69FEB5-E506-48A9-BC72-1E1F7EF56F56}"/>
  </bookViews>
  <sheets>
    <sheet name="جدول مشاريع المجموعة" sheetId="1" r:id="rId1"/>
  </sheets>
  <definedNames>
    <definedName name="_Hlk124323123" localSheetId="0">'جدول مشاريع المجموعة'!$A$74</definedName>
    <definedName name="_Hlk86044064" localSheetId="0">'جدول مشاريع المجموعة'!$A$13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" i="1" l="1"/>
  <c r="D88" i="1"/>
  <c r="G76" i="1" l="1"/>
  <c r="G75" i="1"/>
  <c r="G88" i="1" s="1"/>
  <c r="C11" i="1" l="1"/>
  <c r="B69" i="1" l="1"/>
</calcChain>
</file>

<file path=xl/sharedStrings.xml><?xml version="1.0" encoding="utf-8"?>
<sst xmlns="http://schemas.openxmlformats.org/spreadsheetml/2006/main" count="177" uniqueCount="108">
  <si>
    <t>Current projects</t>
  </si>
  <si>
    <t>اسم المشروع و موجز عنه</t>
  </si>
  <si>
    <t>قيمة العقد</t>
  </si>
  <si>
    <t>تاربخ البدء</t>
  </si>
  <si>
    <t>تاريخ الانتهاء</t>
  </si>
  <si>
    <t>الاكتمال بنسبة %</t>
  </si>
  <si>
    <t>الجهة</t>
  </si>
  <si>
    <t>التربية</t>
  </si>
  <si>
    <t>الإجمالي</t>
  </si>
  <si>
    <t xml:space="preserve">Previous projects </t>
  </si>
  <si>
    <t>هامش الربح</t>
  </si>
  <si>
    <t>تاريخ البدء</t>
  </si>
  <si>
    <t xml:space="preserve">20/2018-2019 توريد و نقل عدد و ادوات صغيرة - لحاجة التوجية الفنى العام لللدراسات العملية </t>
  </si>
  <si>
    <t>وزارة التربية</t>
  </si>
  <si>
    <t>74/2018-2019 توفير احياجات المعهد الصناعى - الشويخ من اجهزة التدريب</t>
  </si>
  <si>
    <t>التطبيقي</t>
  </si>
  <si>
    <t>2417-7-31182 توريد حبوب و بهارات لزوم / وحدات الجيش</t>
  </si>
  <si>
    <t>وزارة الدفاع</t>
  </si>
  <si>
    <t>11/2018-2019 توريد و نقل و صيانة اثاث - لحاجة التوجية الفنى العام للتربية الفنية</t>
  </si>
  <si>
    <t>39/2018-2019 توريد مواد و خامات (الوان شمعية) لحاجة التوجية الفنى العام لرياض الاطفال</t>
  </si>
  <si>
    <t>31/2018-2019 توريد معدات ورشية للادارة العامة للاطفاء</t>
  </si>
  <si>
    <t>الاطفاء</t>
  </si>
  <si>
    <t>2417-8-32182 لتوريد معلبات و مواد غذائية لزوم / وحدات الجيش</t>
  </si>
  <si>
    <t>9/2017-2018 توفير اجهزة تدريبية لمعهد التدريب الصناعى - صباح السالم</t>
  </si>
  <si>
    <t>8/2017-2018   توفير اجهزة تدريب لكلية الدراسات التكنولوجية</t>
  </si>
  <si>
    <t>25/2018-2019 توريد و نقل و تركيب و صيانة و تشغيل الات و معدات تدريب الطلبة لتطوير ورش و مختبرات - لحاجة / التوجية الفنى العام للدراسات العملية</t>
  </si>
  <si>
    <t>32/2019-2020 توفير اجهزو المبنى الجديد لقسم الالكترونيات بمعهد التدريب الصناعى صباح السالم</t>
  </si>
  <si>
    <t>62/2017-2018 توريد و نقل و تركيب و ضمان و صيانة و اصلاح اثاث مكتبي و مدرسي</t>
  </si>
  <si>
    <t>21/2017-2018 توريد مواد تموينية و استهلاكية متنوعة للادارة العامة للامداد و التموين - ادارة المخازن</t>
  </si>
  <si>
    <t>وزارة الداخلية</t>
  </si>
  <si>
    <t>21/2018-2019 توريد و تركيب و تشغيل و صيانة الات و معدات تدريب الطلبة - لحاجة / التوجية الفنى العام للدراسات العملية</t>
  </si>
  <si>
    <t>49/2019-20020 توريد و تركيب اجهزة و معدات لكلية الدراسات التكنولوجية قسم التصنيع - المبنى الجديد رقم 20</t>
  </si>
  <si>
    <t>27/2018-2019 توريد و نقل و تركيب و صيانة احتياجات المساكن الداخلية الخاصة من اثاث</t>
  </si>
  <si>
    <t>16/2019-2020 توريد و نقل و تشغيل و ضمان مقعد سويدى - لحاجة / التوجية الفنى العام لرياض الاطفال</t>
  </si>
  <si>
    <t>26/2019-2020 توريد و نقل مواد و خدمات متنوعة - لحاجة / التوجية الفنى العام للدراسات العملية</t>
  </si>
  <si>
    <t>50/2019-2020 توريد و نقل و تركيب و تشغيل و ضمان و صيانة - الات موسيقية - لحاجة / التوجية الفنى العام للتربية الموسيقية</t>
  </si>
  <si>
    <t>48/2019-2020 توفير اجهزة تدريبية لمركز المهارات</t>
  </si>
  <si>
    <t>41/2019-2020 توريد و نقل و تركيب و تشغيل و صيانة الات و معدات تدريب الطلبة مكائن خياطة - لحاجة  / التوجية الفنى العام للاقتصاد المنزلى</t>
  </si>
  <si>
    <t>30/2019-2020 توريد و نقل و تركيب و تشغيل و صيانة معدات اجهزة كهربائية - لحاجة / التوجية الفنى العام للاقتصاد المنزلى</t>
  </si>
  <si>
    <t>وزارة الاوقاف</t>
  </si>
  <si>
    <t>16/2018-2019 توريد ثلاجات لقطاع المساجد</t>
  </si>
  <si>
    <t>وزارة لاوقاف</t>
  </si>
  <si>
    <t>12/2018-2019 توريد و نقل و تركيب و تشغيل و صيانة الات و معدات تدريب الطلبة - لحاجة التوجية العام للتربية الفنية</t>
  </si>
  <si>
    <t>112/2018-2019 توريد مواد استهلاكية متنوعة لزوم ادارة السجن العمومى بالادارة العامة للمؤسسات الاصلاحية</t>
  </si>
  <si>
    <t>15/2019-2020 توفير احتياجات ادارة الدراسات الاسلامية لمحافظتى الاحمدى و مبارك الكبير من الاثاث</t>
  </si>
  <si>
    <t>14/2019-2020 توفير احتياجات ادارة الدراسات الاسلامية لمحافظتى الاحمدى و مبارك الكبير من الالعاب</t>
  </si>
  <si>
    <t>24/2019-2020 توفير هدايا لفعاليات نفائس الخاصة بادارة الاعلام الدينى</t>
  </si>
  <si>
    <t>117/2019-2020 توريد و تركيب و تشغيل جهاز قص و طباعة ملصقات</t>
  </si>
  <si>
    <t>41/2019-2020 توريد و تركيب و توفير مواد و اداوات نظافة لقطاع شئون القران الكريم و الدراسات الاسلامية</t>
  </si>
  <si>
    <t>ممارسة رقم 5 2020\2021 توريد  مواد ضيافة لوزارة الأوقاف</t>
  </si>
  <si>
    <r>
      <t xml:space="preserve">مناقصة </t>
    </r>
    <r>
      <rPr>
        <b/>
        <sz val="6"/>
        <color theme="1"/>
        <rFont val="Arial"/>
        <family val="2"/>
      </rPr>
      <t xml:space="preserve">RFQ.241717192 </t>
    </r>
    <r>
      <rPr>
        <b/>
        <sz val="6"/>
        <color rgb="FF000000"/>
        <rFont val="Arial"/>
        <family val="2"/>
      </rPr>
      <t>توريد الخضروات والفواكه الطازجة لزوم وحات الجيش الكويتي</t>
    </r>
  </si>
  <si>
    <t xml:space="preserve">مناقصة رقم 212-10-7-2417 توريد معليات ومواد لزوم الجيش </t>
  </si>
  <si>
    <t xml:space="preserve">مناقصة رقم 192-7-1-2417 توريد خضراوات وفواكه طازجة </t>
  </si>
  <si>
    <t xml:space="preserve">وزارة الدفاع </t>
  </si>
  <si>
    <t>مناقصة رقم 52-20220-2023 توريد مياه وعصير</t>
  </si>
  <si>
    <t>وزارة االاوقاف</t>
  </si>
  <si>
    <t>مناقصة رقم 55 – 2022-2023 توريد مواد وخدمات متنوعة</t>
  </si>
  <si>
    <t>مناقصة و ك م 2016/7241 توريد اعمده خشبيه للخطوط الهوائية وبلوكات التثبيت الخشبية وزارة الكهرباء</t>
  </si>
  <si>
    <t>الكهرباء</t>
  </si>
  <si>
    <t>مناقصة الاثاث وزارة التربية</t>
  </si>
  <si>
    <t xml:space="preserve">مناقصة رقم 2 – 2022-2023 توريد هدايا لقطاع شئون القران الكريم </t>
  </si>
  <si>
    <t xml:space="preserve">مناقصة رقم 2 -2021-2022     تمديد اعمال توريد وتصميم وتفصيل ملابس وازياء لادارة رعاية المعاقين </t>
  </si>
  <si>
    <t>شئون ذوي الاعاقة</t>
  </si>
  <si>
    <t>Future projects</t>
  </si>
  <si>
    <t>المبلغ المتوقع للعقد</t>
  </si>
  <si>
    <t>الحالة</t>
  </si>
  <si>
    <t>مستهدف</t>
  </si>
  <si>
    <t>توريد وتركيب وصيانة وضمان ماكينات حفر على الخشب CNC  لتدريب الطلبة</t>
  </si>
  <si>
    <t xml:space="preserve">وزارة التربية </t>
  </si>
  <si>
    <t xml:space="preserve">مستهدف </t>
  </si>
  <si>
    <t>الاجمالي</t>
  </si>
  <si>
    <t>مزايده رقم 3 2024/2025 استغلال مواقع كليات ومعاهد الهيئة العامة للتعليم التطبيقى لتقديم خدمة مكائن العصائر الطازجة</t>
  </si>
  <si>
    <t xml:space="preserve">ممارسة رقم 20 توريد وتركيب وصيانة وضمان ماكينات حفر على الخشب CNC  لتدريب الطلبة </t>
  </si>
  <si>
    <t xml:space="preserve"> ممارسة رقم 58 توريد ونقل مواد وخامات وأخشاب لحاجة التوجية الفنى العام للدراسات العملية</t>
  </si>
  <si>
    <t xml:space="preserve"> ممارسة رقم 59 توريد ونقل وضمان عدد أدوات صغيرة لحاجة التوجية الفنى العام للدراسات العملية </t>
  </si>
  <si>
    <t xml:space="preserve">ممارسة رقم 83 2024/2025 توريد اثاث مكتبات </t>
  </si>
  <si>
    <t xml:space="preserve">ممارسة رقم 21 2024/2025 صيانة الات ومعدات </t>
  </si>
  <si>
    <t xml:space="preserve">الهيئة العامة للتعليم التطبيقي </t>
  </si>
  <si>
    <t>ممارسة رقم 34</t>
  </si>
  <si>
    <t xml:space="preserve">وزارة الشئون الاسلامية </t>
  </si>
  <si>
    <t xml:space="preserve">توريد وضمان ادوات رياضية مقعد سويدي  </t>
  </si>
  <si>
    <t xml:space="preserve">توريد وضمان ادوات رياضية  وعارضة قوائم الوثب العالي </t>
  </si>
  <si>
    <t xml:space="preserve">مناقصة توريد معلبات  للدفاع </t>
  </si>
  <si>
    <t xml:space="preserve">مناقصة توريد معلبات  لوحدات الجيش بوزارة الدفاع </t>
  </si>
  <si>
    <t xml:space="preserve">مناقصة توريد بهارات  العقد الاول الدفاع </t>
  </si>
  <si>
    <t xml:space="preserve">مناقصة توريد بهارات لوحدات الجيش بوزارة الدفاع </t>
  </si>
  <si>
    <t xml:space="preserve">مناقصة توريد طماطم طازجة  الدفاع </t>
  </si>
  <si>
    <t xml:space="preserve">مناقصة توريد طماطم طازجة لوحدات الجيش  بوزارة الدفاع </t>
  </si>
  <si>
    <t xml:space="preserve">ممارسة  صيانة الات ومعدات </t>
  </si>
  <si>
    <t xml:space="preserve">تاريخ البدء المتوقع </t>
  </si>
  <si>
    <t>توريد أعلاف لاداره الانتاج الحيواني</t>
  </si>
  <si>
    <t>توريد وتركيب خزانات لزوم مراقبة الري</t>
  </si>
  <si>
    <t>تنفيذ أعمال اعداد وتقديم الوجبات الغذائية للفعاليات الموسمية للطلبة والطالبات</t>
  </si>
  <si>
    <t>الهيئة العامة لشئون الزراعة والثروه السمكية</t>
  </si>
  <si>
    <t xml:space="preserve">تحت التقديم </t>
  </si>
  <si>
    <t>استئجار باصات ومركبات متنوعة مخصصة للمعاقين مع سائق للهيئة العامة لشئون ذوي الإعاقة</t>
  </si>
  <si>
    <t>الهيئة العامة لشئون ذوي الإعاقة</t>
  </si>
  <si>
    <t xml:space="preserve">توريد ملابس لوزارة الاوقاف </t>
  </si>
  <si>
    <t xml:space="preserve">توريد عصير لوزارة الاوقاف </t>
  </si>
  <si>
    <t xml:space="preserve">توريد مياه لوزارة الاوقاف </t>
  </si>
  <si>
    <t xml:space="preserve">توريد اجهزة شفط للهئية العامة للتعليم التطبيقي </t>
  </si>
  <si>
    <t xml:space="preserve">تجهيزات سكن الائمة بوزارة الاوقاف </t>
  </si>
  <si>
    <t xml:space="preserve">توريد ملابس للمؤسسات الاصلاحية بالسجن العمومي </t>
  </si>
  <si>
    <t xml:space="preserve">وزارة الداخليه </t>
  </si>
  <si>
    <t xml:space="preserve">اعمال توريد وتصميم وتفصيل ملابس وازياء لادارة رعاية المعاقين بالهئية العامة لشئون ذوي الاعاقة </t>
  </si>
  <si>
    <t xml:space="preserve">الهيئة العامة لشئون ذوي الاعاقة </t>
  </si>
  <si>
    <t>الهيئة  العامة للتعليم التطبيقي والتدريب</t>
  </si>
  <si>
    <t>الكفالة النهائية من 10% الي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</si>
</sst>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b/>
      <sz val="6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sz val="7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C1F0C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1F1C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156082"/>
      </right>
      <top style="medium">
        <color indexed="64"/>
      </top>
      <bottom/>
      <diagonal/>
    </border>
    <border>
      <left style="medium">
        <color rgb="FF156082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156082"/>
      </right>
      <top/>
      <bottom style="medium">
        <color indexed="64"/>
      </bottom>
      <diagonal/>
    </border>
    <border>
      <left style="medium">
        <color rgb="FF156082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justify" vertical="center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6" fillId="4" borderId="7" xfId="0" applyFont="1" applyFill="1" applyBorder="1" applyAlignment="1">
      <alignment horizontal="right" vertical="center" wrapText="1" readingOrder="2"/>
    </xf>
    <xf numFmtId="3" fontId="3" fillId="4" borderId="8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right" vertical="center" wrapText="1" readingOrder="2"/>
    </xf>
    <xf numFmtId="3" fontId="3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 wrapText="1" readingOrder="2"/>
    </xf>
    <xf numFmtId="0" fontId="7" fillId="4" borderId="7" xfId="0" applyFont="1" applyFill="1" applyBorder="1" applyAlignment="1">
      <alignment horizontal="right" vertical="center" wrapText="1" readingOrder="2"/>
    </xf>
    <xf numFmtId="0" fontId="10" fillId="4" borderId="7" xfId="0" applyFont="1" applyFill="1" applyBorder="1" applyAlignment="1">
      <alignment horizontal="right" vertical="center" wrapText="1" readingOrder="2"/>
    </xf>
    <xf numFmtId="4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 readingOrder="2"/>
    </xf>
    <xf numFmtId="3" fontId="11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4" fillId="5" borderId="3" xfId="0" applyFont="1" applyFill="1" applyBorder="1" applyAlignment="1">
      <alignment horizontal="center" vertical="center" readingOrder="2"/>
    </xf>
    <xf numFmtId="0" fontId="14" fillId="5" borderId="3" xfId="0" applyFont="1" applyFill="1" applyBorder="1" applyAlignment="1">
      <alignment horizontal="center" vertical="center" wrapText="1" readingOrder="2"/>
    </xf>
    <xf numFmtId="0" fontId="4" fillId="6" borderId="8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3" fontId="14" fillId="6" borderId="8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6" fillId="4" borderId="7" xfId="0" applyFont="1" applyFill="1" applyBorder="1" applyAlignment="1">
      <alignment horizontal="right" vertical="center" wrapText="1" readingOrder="2"/>
    </xf>
    <xf numFmtId="0" fontId="6" fillId="0" borderId="7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15" fillId="0" borderId="7" xfId="0" applyFont="1" applyBorder="1" applyAlignment="1">
      <alignment horizontal="center" vertical="center" wrapText="1" readingOrder="2"/>
    </xf>
    <xf numFmtId="0" fontId="15" fillId="4" borderId="7" xfId="0" applyFont="1" applyFill="1" applyBorder="1" applyAlignment="1">
      <alignment horizontal="center" vertical="center" wrapText="1" readingOrder="2"/>
    </xf>
    <xf numFmtId="0" fontId="5" fillId="4" borderId="7" xfId="0" applyFont="1" applyFill="1" applyBorder="1" applyAlignment="1">
      <alignment horizontal="center" vertical="center" wrapText="1" readingOrder="2"/>
    </xf>
    <xf numFmtId="0" fontId="15" fillId="7" borderId="7" xfId="0" applyFont="1" applyFill="1" applyBorder="1" applyAlignment="1">
      <alignment horizontal="center" vertical="center" wrapText="1" readingOrder="2"/>
    </xf>
    <xf numFmtId="0" fontId="15" fillId="8" borderId="7" xfId="0" applyFont="1" applyFill="1" applyBorder="1" applyAlignment="1">
      <alignment horizontal="center" vertical="center" wrapText="1" readingOrder="2"/>
    </xf>
    <xf numFmtId="3" fontId="3" fillId="7" borderId="8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readingOrder="2"/>
    </xf>
    <xf numFmtId="9" fontId="3" fillId="0" borderId="8" xfId="0" applyNumberFormat="1" applyFont="1" applyBorder="1" applyAlignment="1">
      <alignment horizontal="center" vertical="center" readingOrder="2"/>
    </xf>
    <xf numFmtId="0" fontId="7" fillId="0" borderId="11" xfId="0" applyFont="1" applyBorder="1" applyAlignment="1">
      <alignment vertical="center" readingOrder="2"/>
    </xf>
    <xf numFmtId="0" fontId="7" fillId="0" borderId="9" xfId="0" applyFont="1" applyBorder="1" applyAlignment="1">
      <alignment vertical="center" readingOrder="2"/>
    </xf>
    <xf numFmtId="0" fontId="7" fillId="0" borderId="14" xfId="0" applyFont="1" applyBorder="1" applyAlignment="1">
      <alignment vertical="center" readingOrder="2"/>
    </xf>
    <xf numFmtId="0" fontId="7" fillId="0" borderId="12" xfId="0" applyFont="1" applyBorder="1" applyAlignment="1">
      <alignment vertical="center" readingOrder="2"/>
    </xf>
    <xf numFmtId="0" fontId="1" fillId="0" borderId="8" xfId="0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4" fontId="15" fillId="6" borderId="8" xfId="0" applyNumberFormat="1" applyFont="1" applyFill="1" applyBorder="1" applyAlignment="1">
      <alignment horizontal="center" vertical="center"/>
    </xf>
    <xf numFmtId="9" fontId="6" fillId="4" borderId="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4" fontId="6" fillId="4" borderId="8" xfId="0" applyNumberFormat="1" applyFont="1" applyFill="1" applyBorder="1" applyAlignment="1">
      <alignment horizontal="center" vertical="center"/>
    </xf>
    <xf numFmtId="9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9" fontId="6" fillId="7" borderId="8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1" fillId="0" borderId="4" xfId="0" applyFont="1" applyBorder="1" applyAlignment="1">
      <alignment horizontal="center" vertical="center" readingOrder="2"/>
    </xf>
    <xf numFmtId="0" fontId="1" fillId="0" borderId="7" xfId="0" applyFont="1" applyBorder="1" applyAlignment="1">
      <alignment horizontal="center" vertical="center" readingOrder="2"/>
    </xf>
    <xf numFmtId="4" fontId="3" fillId="0" borderId="4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3" fontId="3" fillId="0" borderId="4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2"/>
    </xf>
    <xf numFmtId="9" fontId="3" fillId="0" borderId="4" xfId="0" applyNumberFormat="1" applyFont="1" applyBorder="1" applyAlignment="1">
      <alignment horizontal="center" vertical="center" readingOrder="2"/>
    </xf>
    <xf numFmtId="9" fontId="3" fillId="0" borderId="7" xfId="0" applyNumberFormat="1" applyFont="1" applyBorder="1" applyAlignment="1">
      <alignment horizontal="center" vertical="center" readingOrder="2"/>
    </xf>
    <xf numFmtId="0" fontId="3" fillId="3" borderId="15" xfId="0" applyFont="1" applyFill="1" applyBorder="1" applyAlignment="1">
      <alignment horizontal="center" vertical="center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9" fontId="6" fillId="0" borderId="4" xfId="0" applyNumberFormat="1" applyFont="1" applyBorder="1" applyAlignment="1">
      <alignment horizontal="center" vertical="center"/>
    </xf>
    <xf numFmtId="9" fontId="6" fillId="0" borderId="7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 readingOrder="2"/>
    </xf>
    <xf numFmtId="0" fontId="6" fillId="0" borderId="9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  <xf numFmtId="0" fontId="6" fillId="0" borderId="12" xfId="0" applyFont="1" applyBorder="1" applyAlignment="1">
      <alignment horizontal="center" vertical="center" wrapText="1" readingOrder="2"/>
    </xf>
    <xf numFmtId="0" fontId="8" fillId="0" borderId="5" xfId="0" applyFont="1" applyBorder="1" applyAlignment="1">
      <alignment horizontal="center" vertical="center" readingOrder="2"/>
    </xf>
    <xf numFmtId="0" fontId="8" fillId="0" borderId="2" xfId="0" applyFont="1" applyBorder="1" applyAlignment="1">
      <alignment horizontal="center" vertical="center" readingOrder="2"/>
    </xf>
    <xf numFmtId="0" fontId="8" fillId="0" borderId="8" xfId="0" applyFont="1" applyBorder="1" applyAlignment="1">
      <alignment horizontal="center" vertical="center" readingOrder="2"/>
    </xf>
    <xf numFmtId="0" fontId="8" fillId="0" borderId="6" xfId="0" applyFont="1" applyBorder="1" applyAlignment="1">
      <alignment horizontal="center" vertical="center" readingOrder="2"/>
    </xf>
    <xf numFmtId="3" fontId="9" fillId="0" borderId="5" xfId="0" applyNumberFormat="1" applyFont="1" applyBorder="1" applyAlignment="1">
      <alignment horizontal="center" vertical="center" readingOrder="2"/>
    </xf>
    <xf numFmtId="3" fontId="9" fillId="0" borderId="8" xfId="0" applyNumberFormat="1" applyFont="1" applyBorder="1" applyAlignment="1">
      <alignment horizontal="center" vertical="center" readingOrder="2"/>
    </xf>
    <xf numFmtId="0" fontId="7" fillId="0" borderId="9" xfId="0" applyFont="1" applyBorder="1" applyAlignment="1">
      <alignment horizontal="center" vertical="center" readingOrder="2"/>
    </xf>
    <xf numFmtId="0" fontId="7" fillId="0" borderId="12" xfId="0" applyFont="1" applyBorder="1" applyAlignment="1">
      <alignment horizontal="center" vertical="center" readingOrder="2"/>
    </xf>
    <xf numFmtId="0" fontId="7" fillId="0" borderId="10" xfId="0" applyFont="1" applyBorder="1" applyAlignment="1">
      <alignment horizontal="center" vertical="center" readingOrder="2"/>
    </xf>
    <xf numFmtId="0" fontId="7" fillId="0" borderId="13" xfId="0" applyFont="1" applyBorder="1" applyAlignment="1">
      <alignment horizontal="center" vertical="center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7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 readingOrder="2"/>
    </xf>
    <xf numFmtId="0" fontId="14" fillId="5" borderId="17" xfId="0" applyFont="1" applyFill="1" applyBorder="1" applyAlignment="1">
      <alignment horizontal="center" vertical="center" readingOrder="2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right" vertical="center" wrapText="1" readingOrder="2"/>
    </xf>
    <xf numFmtId="3" fontId="3" fillId="4" borderId="4" xfId="0" applyNumberFormat="1" applyFont="1" applyFill="1" applyBorder="1" applyAlignment="1">
      <alignment horizontal="center" vertical="center"/>
    </xf>
    <xf numFmtId="3" fontId="3" fillId="4" borderId="7" xfId="0" applyNumberFormat="1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9" fontId="6" fillId="4" borderId="7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F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31FF-96DA-4CE6-81C0-586D656B49ED}">
  <dimension ref="A1:H89"/>
  <sheetViews>
    <sheetView tabSelected="1" zoomScale="85" zoomScaleNormal="85" workbookViewId="0">
      <selection activeCell="G88" sqref="G88"/>
    </sheetView>
  </sheetViews>
  <sheetFormatPr defaultRowHeight="14.5" x14ac:dyDescent="0.35"/>
  <cols>
    <col min="1" max="1" width="41.08984375" bestFit="1" customWidth="1"/>
    <col min="2" max="2" width="58.26953125" customWidth="1"/>
    <col min="3" max="3" width="23.08984375" bestFit="1" customWidth="1"/>
    <col min="4" max="4" width="9.7265625" style="2" bestFit="1" customWidth="1"/>
    <col min="6" max="6" width="10.1796875" bestFit="1" customWidth="1"/>
    <col min="7" max="7" width="10.26953125" bestFit="1" customWidth="1"/>
  </cols>
  <sheetData>
    <row r="1" spans="1:8" x14ac:dyDescent="0.35">
      <c r="A1" s="1"/>
    </row>
    <row r="2" spans="1:8" ht="15" thickBot="1" x14ac:dyDescent="0.4">
      <c r="A2" s="3" t="s">
        <v>0</v>
      </c>
    </row>
    <row r="3" spans="1:8" ht="15" thickBot="1" x14ac:dyDescent="0.4">
      <c r="A3" s="53" t="s">
        <v>1</v>
      </c>
      <c r="B3" s="54"/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8" x14ac:dyDescent="0.35">
      <c r="A4" s="55" t="s">
        <v>78</v>
      </c>
      <c r="B4" s="57" t="s">
        <v>80</v>
      </c>
      <c r="C4" s="59">
        <v>43491</v>
      </c>
      <c r="D4" s="65">
        <v>2026</v>
      </c>
      <c r="E4" s="65">
        <v>2026</v>
      </c>
      <c r="F4" s="67">
        <v>0.2</v>
      </c>
      <c r="G4" s="61" t="s">
        <v>68</v>
      </c>
    </row>
    <row r="5" spans="1:8" ht="15" thickBot="1" x14ac:dyDescent="0.4">
      <c r="A5" s="56"/>
      <c r="B5" s="58"/>
      <c r="C5" s="60"/>
      <c r="D5" s="66"/>
      <c r="E5" s="66"/>
      <c r="F5" s="68"/>
      <c r="G5" s="62"/>
    </row>
    <row r="6" spans="1:8" x14ac:dyDescent="0.35">
      <c r="A6" s="55" t="s">
        <v>78</v>
      </c>
      <c r="B6" s="57" t="s">
        <v>81</v>
      </c>
      <c r="C6" s="63">
        <v>19176</v>
      </c>
      <c r="D6" s="65">
        <v>2026</v>
      </c>
      <c r="E6" s="65">
        <v>2026</v>
      </c>
      <c r="F6" s="67">
        <v>0.1</v>
      </c>
      <c r="G6" s="61" t="s">
        <v>68</v>
      </c>
    </row>
    <row r="7" spans="1:8" ht="15" thickBot="1" x14ac:dyDescent="0.4">
      <c r="A7" s="56"/>
      <c r="B7" s="58"/>
      <c r="C7" s="64"/>
      <c r="D7" s="66"/>
      <c r="E7" s="66"/>
      <c r="F7" s="68"/>
      <c r="G7" s="62"/>
    </row>
    <row r="8" spans="1:8" ht="23.5" customHeight="1" thickBot="1" x14ac:dyDescent="0.4">
      <c r="A8" s="44" t="s">
        <v>82</v>
      </c>
      <c r="B8" s="43" t="s">
        <v>83</v>
      </c>
      <c r="C8" s="12">
        <v>243707.5</v>
      </c>
      <c r="D8" s="37">
        <v>2025</v>
      </c>
      <c r="E8" s="37">
        <v>2027</v>
      </c>
      <c r="F8" s="38">
        <v>0.3</v>
      </c>
      <c r="G8" s="30" t="s">
        <v>53</v>
      </c>
    </row>
    <row r="9" spans="1:8" ht="15" thickBot="1" x14ac:dyDescent="0.4">
      <c r="A9" s="44" t="s">
        <v>84</v>
      </c>
      <c r="B9" s="43" t="s">
        <v>85</v>
      </c>
      <c r="C9" s="12">
        <v>305558</v>
      </c>
      <c r="D9" s="37">
        <v>2025</v>
      </c>
      <c r="E9" s="37">
        <v>2027</v>
      </c>
      <c r="F9" s="38">
        <v>0.3</v>
      </c>
      <c r="G9" s="30" t="s">
        <v>53</v>
      </c>
    </row>
    <row r="10" spans="1:8" ht="15" thickBot="1" x14ac:dyDescent="0.4">
      <c r="A10" s="44" t="s">
        <v>86</v>
      </c>
      <c r="B10" s="43" t="s">
        <v>87</v>
      </c>
      <c r="C10" s="12">
        <v>320976.53000000003</v>
      </c>
      <c r="D10" s="37">
        <v>2024</v>
      </c>
      <c r="E10" s="37">
        <v>2027</v>
      </c>
      <c r="F10" s="38">
        <v>0.7</v>
      </c>
      <c r="G10" s="30" t="s">
        <v>53</v>
      </c>
    </row>
    <row r="11" spans="1:8" x14ac:dyDescent="0.35">
      <c r="A11" s="83" t="s">
        <v>8</v>
      </c>
      <c r="B11" s="84"/>
      <c r="C11" s="87">
        <f>SUM(C4:C10)</f>
        <v>932909.03</v>
      </c>
      <c r="D11" s="89"/>
      <c r="E11" s="91"/>
      <c r="F11" s="39"/>
      <c r="G11" s="40"/>
    </row>
    <row r="12" spans="1:8" ht="15" thickBot="1" x14ac:dyDescent="0.4">
      <c r="A12" s="85"/>
      <c r="B12" s="86"/>
      <c r="C12" s="88"/>
      <c r="D12" s="90"/>
      <c r="E12" s="92"/>
      <c r="F12" s="41"/>
      <c r="G12" s="42"/>
    </row>
    <row r="13" spans="1:8" x14ac:dyDescent="0.35">
      <c r="A13" s="3" t="s">
        <v>9</v>
      </c>
    </row>
    <row r="14" spans="1:8" x14ac:dyDescent="0.35">
      <c r="A14" s="69" t="s">
        <v>1</v>
      </c>
      <c r="B14" s="69" t="s">
        <v>2</v>
      </c>
      <c r="C14" s="69" t="s">
        <v>10</v>
      </c>
      <c r="D14" s="69" t="s">
        <v>11</v>
      </c>
      <c r="E14" s="69" t="s">
        <v>4</v>
      </c>
      <c r="F14" s="69" t="s">
        <v>5</v>
      </c>
      <c r="G14" s="70" t="s">
        <v>6</v>
      </c>
      <c r="H14" s="70"/>
    </row>
    <row r="15" spans="1:8" x14ac:dyDescent="0.35">
      <c r="A15" s="69"/>
      <c r="B15" s="69"/>
      <c r="C15" s="69"/>
      <c r="D15" s="69"/>
      <c r="E15" s="69"/>
      <c r="F15" s="69"/>
      <c r="G15" s="70"/>
      <c r="H15" s="70"/>
    </row>
    <row r="16" spans="1:8" x14ac:dyDescent="0.35">
      <c r="A16" s="69"/>
      <c r="B16" s="69"/>
      <c r="C16" s="69"/>
      <c r="D16" s="69"/>
      <c r="E16" s="69"/>
      <c r="F16" s="69"/>
      <c r="G16" s="70"/>
      <c r="H16" s="70"/>
    </row>
    <row r="17" spans="1:8" ht="15" thickBot="1" x14ac:dyDescent="0.4">
      <c r="A17" s="6" t="s">
        <v>12</v>
      </c>
      <c r="B17" s="7">
        <v>29945</v>
      </c>
      <c r="C17" s="46">
        <v>0.18</v>
      </c>
      <c r="D17" s="47">
        <v>2019</v>
      </c>
      <c r="E17" s="48">
        <v>43492</v>
      </c>
      <c r="F17" s="46">
        <v>1</v>
      </c>
      <c r="G17" s="71" t="s">
        <v>13</v>
      </c>
      <c r="H17" s="72"/>
    </row>
    <row r="18" spans="1:8" ht="15" thickBot="1" x14ac:dyDescent="0.4">
      <c r="A18" s="8" t="s">
        <v>14</v>
      </c>
      <c r="B18" s="9">
        <v>16265</v>
      </c>
      <c r="C18" s="49">
        <v>0.18</v>
      </c>
      <c r="D18" s="50">
        <v>2019</v>
      </c>
      <c r="E18" s="51">
        <v>43506</v>
      </c>
      <c r="F18" s="49">
        <v>1</v>
      </c>
      <c r="G18" s="73" t="s">
        <v>15</v>
      </c>
      <c r="H18" s="74"/>
    </row>
    <row r="19" spans="1:8" ht="15" thickBot="1" x14ac:dyDescent="0.4">
      <c r="A19" s="6" t="s">
        <v>16</v>
      </c>
      <c r="B19" s="7">
        <v>120900</v>
      </c>
      <c r="C19" s="46">
        <v>0.15</v>
      </c>
      <c r="D19" s="47">
        <v>2019</v>
      </c>
      <c r="E19" s="48">
        <v>43506</v>
      </c>
      <c r="F19" s="46">
        <v>1</v>
      </c>
      <c r="G19" s="75" t="s">
        <v>17</v>
      </c>
      <c r="H19" s="76"/>
    </row>
    <row r="20" spans="1:8" ht="15" thickBot="1" x14ac:dyDescent="0.4">
      <c r="A20" s="8" t="s">
        <v>18</v>
      </c>
      <c r="B20" s="9">
        <v>19250</v>
      </c>
      <c r="C20" s="49">
        <v>0.18</v>
      </c>
      <c r="D20" s="50">
        <v>2019</v>
      </c>
      <c r="E20" s="51">
        <v>43506</v>
      </c>
      <c r="F20" s="49">
        <v>1</v>
      </c>
      <c r="G20" s="73" t="s">
        <v>13</v>
      </c>
      <c r="H20" s="74"/>
    </row>
    <row r="21" spans="1:8" ht="15" thickBot="1" x14ac:dyDescent="0.4">
      <c r="A21" s="6" t="s">
        <v>19</v>
      </c>
      <c r="B21" s="7">
        <v>4950</v>
      </c>
      <c r="C21" s="46">
        <v>0.15</v>
      </c>
      <c r="D21" s="47">
        <v>2019</v>
      </c>
      <c r="E21" s="48">
        <v>43530</v>
      </c>
      <c r="F21" s="46">
        <v>1</v>
      </c>
      <c r="G21" s="75" t="s">
        <v>13</v>
      </c>
      <c r="H21" s="76"/>
    </row>
    <row r="22" spans="1:8" ht="15" thickBot="1" x14ac:dyDescent="0.4">
      <c r="A22" s="8" t="s">
        <v>20</v>
      </c>
      <c r="B22" s="9">
        <v>7350</v>
      </c>
      <c r="C22" s="49">
        <v>0.15</v>
      </c>
      <c r="D22" s="50">
        <v>2019</v>
      </c>
      <c r="E22" s="51">
        <v>43541</v>
      </c>
      <c r="F22" s="49">
        <v>1</v>
      </c>
      <c r="G22" s="73" t="s">
        <v>21</v>
      </c>
      <c r="H22" s="74"/>
    </row>
    <row r="23" spans="1:8" ht="15" thickBot="1" x14ac:dyDescent="0.4">
      <c r="A23" s="6" t="s">
        <v>22</v>
      </c>
      <c r="B23" s="7">
        <v>143275</v>
      </c>
      <c r="C23" s="46">
        <v>0.15</v>
      </c>
      <c r="D23" s="47">
        <v>2019</v>
      </c>
      <c r="E23" s="48">
        <v>43534</v>
      </c>
      <c r="F23" s="46">
        <v>1</v>
      </c>
      <c r="G23" s="75" t="s">
        <v>17</v>
      </c>
      <c r="H23" s="76"/>
    </row>
    <row r="24" spans="1:8" ht="15" thickBot="1" x14ac:dyDescent="0.4">
      <c r="A24" s="8" t="s">
        <v>23</v>
      </c>
      <c r="B24" s="9">
        <v>12050</v>
      </c>
      <c r="C24" s="49">
        <v>0.15</v>
      </c>
      <c r="D24" s="50">
        <v>2019</v>
      </c>
      <c r="E24" s="51">
        <v>43548</v>
      </c>
      <c r="F24" s="49">
        <v>1</v>
      </c>
      <c r="G24" s="73" t="s">
        <v>15</v>
      </c>
      <c r="H24" s="74"/>
    </row>
    <row r="25" spans="1:8" ht="15" thickBot="1" x14ac:dyDescent="0.4">
      <c r="A25" s="6" t="s">
        <v>24</v>
      </c>
      <c r="B25" s="7">
        <v>19725</v>
      </c>
      <c r="C25" s="46">
        <v>0.12</v>
      </c>
      <c r="D25" s="47">
        <v>2019</v>
      </c>
      <c r="E25" s="48">
        <v>43625</v>
      </c>
      <c r="F25" s="46">
        <v>1</v>
      </c>
      <c r="G25" s="75" t="s">
        <v>15</v>
      </c>
      <c r="H25" s="76"/>
    </row>
    <row r="26" spans="1:8" ht="49" customHeight="1" x14ac:dyDescent="0.35">
      <c r="A26" s="93" t="s">
        <v>25</v>
      </c>
      <c r="B26" s="63">
        <v>583500</v>
      </c>
      <c r="C26" s="77">
        <v>0.18</v>
      </c>
      <c r="D26" s="95">
        <v>2019</v>
      </c>
      <c r="E26" s="97">
        <v>43614</v>
      </c>
      <c r="F26" s="77">
        <v>1</v>
      </c>
      <c r="G26" s="79" t="s">
        <v>13</v>
      </c>
      <c r="H26" s="80"/>
    </row>
    <row r="27" spans="1:8" ht="15" thickBot="1" x14ac:dyDescent="0.4">
      <c r="A27" s="94"/>
      <c r="B27" s="64"/>
      <c r="C27" s="78"/>
      <c r="D27" s="96"/>
      <c r="E27" s="98"/>
      <c r="F27" s="78"/>
      <c r="G27" s="81"/>
      <c r="H27" s="82"/>
    </row>
    <row r="28" spans="1:8" ht="15" thickBot="1" x14ac:dyDescent="0.4">
      <c r="A28" s="6" t="s">
        <v>26</v>
      </c>
      <c r="B28" s="7">
        <v>4083</v>
      </c>
      <c r="C28" s="46">
        <v>0.14000000000000001</v>
      </c>
      <c r="D28" s="47">
        <v>2019</v>
      </c>
      <c r="E28" s="48">
        <v>43748</v>
      </c>
      <c r="F28" s="46">
        <v>1</v>
      </c>
      <c r="G28" s="75" t="s">
        <v>15</v>
      </c>
      <c r="H28" s="76"/>
    </row>
    <row r="29" spans="1:8" ht="15" thickBot="1" x14ac:dyDescent="0.4">
      <c r="A29" s="8" t="s">
        <v>27</v>
      </c>
      <c r="B29" s="9">
        <v>11620</v>
      </c>
      <c r="C29" s="49">
        <v>0.15</v>
      </c>
      <c r="D29" s="50">
        <v>2019</v>
      </c>
      <c r="E29" s="51">
        <v>43758</v>
      </c>
      <c r="F29" s="49">
        <v>1</v>
      </c>
      <c r="G29" s="73" t="s">
        <v>13</v>
      </c>
      <c r="H29" s="74"/>
    </row>
    <row r="30" spans="1:8" ht="15" thickBot="1" x14ac:dyDescent="0.4">
      <c r="A30" s="6" t="s">
        <v>27</v>
      </c>
      <c r="B30" s="7">
        <v>77730</v>
      </c>
      <c r="C30" s="46">
        <v>0.15</v>
      </c>
      <c r="D30" s="47">
        <v>2019</v>
      </c>
      <c r="E30" s="48">
        <v>43758</v>
      </c>
      <c r="F30" s="46">
        <v>1</v>
      </c>
      <c r="G30" s="75" t="s">
        <v>13</v>
      </c>
      <c r="H30" s="76"/>
    </row>
    <row r="31" spans="1:8" ht="15" thickBot="1" x14ac:dyDescent="0.4">
      <c r="A31" s="8" t="s">
        <v>28</v>
      </c>
      <c r="B31" s="9">
        <v>19682</v>
      </c>
      <c r="C31" s="49">
        <v>0.15</v>
      </c>
      <c r="D31" s="50">
        <v>2019</v>
      </c>
      <c r="E31" s="51">
        <v>43762</v>
      </c>
      <c r="F31" s="49">
        <v>1</v>
      </c>
      <c r="G31" s="73" t="s">
        <v>29</v>
      </c>
      <c r="H31" s="74"/>
    </row>
    <row r="32" spans="1:8" ht="16.5" thickBot="1" x14ac:dyDescent="0.4">
      <c r="A32" s="6" t="s">
        <v>30</v>
      </c>
      <c r="B32" s="7">
        <v>401155</v>
      </c>
      <c r="C32" s="46">
        <v>0.17</v>
      </c>
      <c r="D32" s="47">
        <v>2019</v>
      </c>
      <c r="E32" s="48">
        <v>43767</v>
      </c>
      <c r="F32" s="46">
        <v>1</v>
      </c>
      <c r="G32" s="75" t="s">
        <v>13</v>
      </c>
      <c r="H32" s="76"/>
    </row>
    <row r="33" spans="1:8" ht="16.5" thickBot="1" x14ac:dyDescent="0.4">
      <c r="A33" s="8" t="s">
        <v>31</v>
      </c>
      <c r="B33" s="9">
        <v>3150</v>
      </c>
      <c r="C33" s="49">
        <v>0.17</v>
      </c>
      <c r="D33" s="50">
        <v>2019</v>
      </c>
      <c r="E33" s="51">
        <v>43770</v>
      </c>
      <c r="F33" s="49">
        <v>1</v>
      </c>
      <c r="G33" s="73" t="s">
        <v>15</v>
      </c>
      <c r="H33" s="74"/>
    </row>
    <row r="34" spans="1:8" ht="15" thickBot="1" x14ac:dyDescent="0.4">
      <c r="A34" s="6" t="s">
        <v>32</v>
      </c>
      <c r="B34" s="11">
        <v>995</v>
      </c>
      <c r="C34" s="46">
        <v>0.15</v>
      </c>
      <c r="D34" s="47">
        <v>2019</v>
      </c>
      <c r="E34" s="48">
        <v>43807</v>
      </c>
      <c r="F34" s="46">
        <v>1</v>
      </c>
      <c r="G34" s="75" t="s">
        <v>13</v>
      </c>
      <c r="H34" s="76"/>
    </row>
    <row r="35" spans="1:8" ht="15" thickBot="1" x14ac:dyDescent="0.4">
      <c r="A35" s="8" t="s">
        <v>33</v>
      </c>
      <c r="B35" s="9">
        <v>16625</v>
      </c>
      <c r="C35" s="49">
        <v>0.18</v>
      </c>
      <c r="D35" s="50">
        <v>2019</v>
      </c>
      <c r="E35" s="51">
        <v>43807</v>
      </c>
      <c r="F35" s="49">
        <v>1</v>
      </c>
      <c r="G35" s="73" t="s">
        <v>13</v>
      </c>
      <c r="H35" s="74"/>
    </row>
    <row r="36" spans="1:8" ht="15" thickBot="1" x14ac:dyDescent="0.4">
      <c r="A36" s="6" t="s">
        <v>34</v>
      </c>
      <c r="B36" s="7">
        <v>12500</v>
      </c>
      <c r="C36" s="46">
        <v>0.18</v>
      </c>
      <c r="D36" s="47">
        <v>2019</v>
      </c>
      <c r="E36" s="48">
        <v>43809</v>
      </c>
      <c r="F36" s="46">
        <v>1</v>
      </c>
      <c r="G36" s="75" t="s">
        <v>13</v>
      </c>
      <c r="H36" s="76"/>
    </row>
    <row r="37" spans="1:8" ht="16.5" thickBot="1" x14ac:dyDescent="0.4">
      <c r="A37" s="8" t="s">
        <v>35</v>
      </c>
      <c r="B37" s="9">
        <v>9900</v>
      </c>
      <c r="C37" s="49">
        <v>0.18</v>
      </c>
      <c r="D37" s="50">
        <v>2019</v>
      </c>
      <c r="E37" s="51">
        <v>43814</v>
      </c>
      <c r="F37" s="49">
        <v>1</v>
      </c>
      <c r="G37" s="73" t="s">
        <v>15</v>
      </c>
      <c r="H37" s="74"/>
    </row>
    <row r="38" spans="1:8" ht="15" thickBot="1" x14ac:dyDescent="0.4">
      <c r="A38" s="6" t="s">
        <v>36</v>
      </c>
      <c r="B38" s="11">
        <v>390</v>
      </c>
      <c r="C38" s="46">
        <v>0.16</v>
      </c>
      <c r="D38" s="47">
        <v>2019</v>
      </c>
      <c r="E38" s="48">
        <v>43821</v>
      </c>
      <c r="F38" s="46">
        <v>1</v>
      </c>
      <c r="G38" s="75" t="s">
        <v>13</v>
      </c>
      <c r="H38" s="76"/>
    </row>
    <row r="39" spans="1:8" ht="16.5" thickBot="1" x14ac:dyDescent="0.4">
      <c r="A39" s="8" t="s">
        <v>37</v>
      </c>
      <c r="B39" s="9">
        <v>10499</v>
      </c>
      <c r="C39" s="49">
        <v>0.18</v>
      </c>
      <c r="D39" s="50">
        <v>2019</v>
      </c>
      <c r="E39" s="51">
        <v>43823</v>
      </c>
      <c r="F39" s="49">
        <v>1</v>
      </c>
      <c r="G39" s="73" t="s">
        <v>13</v>
      </c>
      <c r="H39" s="74"/>
    </row>
    <row r="40" spans="1:8" ht="16.5" thickBot="1" x14ac:dyDescent="0.4">
      <c r="A40" s="6" t="s">
        <v>38</v>
      </c>
      <c r="B40" s="7">
        <v>25286</v>
      </c>
      <c r="C40" s="46">
        <v>0.18</v>
      </c>
      <c r="D40" s="47">
        <v>2019</v>
      </c>
      <c r="E40" s="48">
        <v>43823</v>
      </c>
      <c r="F40" s="46">
        <v>1</v>
      </c>
      <c r="G40" s="75" t="s">
        <v>39</v>
      </c>
      <c r="H40" s="76"/>
    </row>
    <row r="41" spans="1:8" ht="15" thickBot="1" x14ac:dyDescent="0.4">
      <c r="A41" s="8" t="s">
        <v>40</v>
      </c>
      <c r="B41" s="9">
        <v>13040</v>
      </c>
      <c r="C41" s="49">
        <v>0.18</v>
      </c>
      <c r="D41" s="50">
        <v>2019</v>
      </c>
      <c r="E41" s="51">
        <v>43551</v>
      </c>
      <c r="F41" s="49">
        <v>1</v>
      </c>
      <c r="G41" s="73" t="s">
        <v>41</v>
      </c>
      <c r="H41" s="74"/>
    </row>
    <row r="42" spans="1:8" ht="16.5" thickBot="1" x14ac:dyDescent="0.4">
      <c r="A42" s="6" t="s">
        <v>42</v>
      </c>
      <c r="B42" s="7">
        <v>31185</v>
      </c>
      <c r="C42" s="46">
        <v>0.18</v>
      </c>
      <c r="D42" s="47">
        <v>2019</v>
      </c>
      <c r="E42" s="48">
        <v>43506</v>
      </c>
      <c r="F42" s="46">
        <v>1</v>
      </c>
      <c r="G42" s="75" t="s">
        <v>13</v>
      </c>
      <c r="H42" s="76"/>
    </row>
    <row r="43" spans="1:8" ht="15" thickBot="1" x14ac:dyDescent="0.4">
      <c r="A43" s="8" t="s">
        <v>18</v>
      </c>
      <c r="B43" s="9">
        <v>34900</v>
      </c>
      <c r="C43" s="49">
        <v>0.15</v>
      </c>
      <c r="D43" s="50">
        <v>2019</v>
      </c>
      <c r="E43" s="51">
        <v>43506</v>
      </c>
      <c r="F43" s="49">
        <v>1</v>
      </c>
      <c r="G43" s="73" t="s">
        <v>13</v>
      </c>
      <c r="H43" s="74"/>
    </row>
    <row r="44" spans="1:8" ht="16.5" thickBot="1" x14ac:dyDescent="0.4">
      <c r="A44" s="6" t="s">
        <v>43</v>
      </c>
      <c r="B44" s="7">
        <v>33275</v>
      </c>
      <c r="C44" s="46">
        <v>0.15</v>
      </c>
      <c r="D44" s="47">
        <v>2019</v>
      </c>
      <c r="E44" s="48">
        <v>43731</v>
      </c>
      <c r="F44" s="46">
        <v>1</v>
      </c>
      <c r="G44" s="75" t="s">
        <v>29</v>
      </c>
      <c r="H44" s="76"/>
    </row>
    <row r="45" spans="1:8" ht="25" customHeight="1" x14ac:dyDescent="0.35">
      <c r="A45" s="93" t="s">
        <v>44</v>
      </c>
      <c r="B45" s="63">
        <v>10764</v>
      </c>
      <c r="C45" s="77">
        <v>0.15</v>
      </c>
      <c r="D45" s="95">
        <v>2019</v>
      </c>
      <c r="E45" s="97">
        <v>43731</v>
      </c>
      <c r="F45" s="77">
        <v>1</v>
      </c>
      <c r="G45" s="79" t="s">
        <v>39</v>
      </c>
      <c r="H45" s="80"/>
    </row>
    <row r="46" spans="1:8" ht="15" thickBot="1" x14ac:dyDescent="0.4">
      <c r="A46" s="94"/>
      <c r="B46" s="64"/>
      <c r="C46" s="78"/>
      <c r="D46" s="96"/>
      <c r="E46" s="98"/>
      <c r="F46" s="78"/>
      <c r="G46" s="81"/>
      <c r="H46" s="82"/>
    </row>
    <row r="47" spans="1:8" ht="15" thickBot="1" x14ac:dyDescent="0.4">
      <c r="A47" s="6" t="s">
        <v>45</v>
      </c>
      <c r="B47" s="7">
        <v>3108</v>
      </c>
      <c r="C47" s="46">
        <v>0.15</v>
      </c>
      <c r="D47" s="47">
        <v>2019</v>
      </c>
      <c r="E47" s="48">
        <v>43733</v>
      </c>
      <c r="F47" s="46">
        <v>1</v>
      </c>
      <c r="G47" s="75" t="s">
        <v>39</v>
      </c>
      <c r="H47" s="76"/>
    </row>
    <row r="48" spans="1:8" ht="15" thickBot="1" x14ac:dyDescent="0.4">
      <c r="A48" s="8" t="s">
        <v>46</v>
      </c>
      <c r="B48" s="9">
        <v>6685</v>
      </c>
      <c r="C48" s="49">
        <v>0.15</v>
      </c>
      <c r="D48" s="50">
        <v>2019</v>
      </c>
      <c r="E48" s="51">
        <v>43748</v>
      </c>
      <c r="F48" s="49">
        <v>1</v>
      </c>
      <c r="G48" s="73" t="s">
        <v>39</v>
      </c>
      <c r="H48" s="74"/>
    </row>
    <row r="49" spans="1:8" ht="15" thickBot="1" x14ac:dyDescent="0.4">
      <c r="A49" s="6" t="s">
        <v>34</v>
      </c>
      <c r="B49" s="7">
        <v>50547</v>
      </c>
      <c r="C49" s="46">
        <v>0.18</v>
      </c>
      <c r="D49" s="47">
        <v>2019</v>
      </c>
      <c r="E49" s="48">
        <v>43809</v>
      </c>
      <c r="F49" s="46">
        <v>1</v>
      </c>
      <c r="G49" s="75" t="s">
        <v>13</v>
      </c>
      <c r="H49" s="76"/>
    </row>
    <row r="50" spans="1:8" ht="15" thickBot="1" x14ac:dyDescent="0.4">
      <c r="A50" s="8" t="s">
        <v>47</v>
      </c>
      <c r="B50" s="9">
        <v>9580</v>
      </c>
      <c r="C50" s="49">
        <v>0.18</v>
      </c>
      <c r="D50" s="50">
        <v>2019</v>
      </c>
      <c r="E50" s="51">
        <v>43810</v>
      </c>
      <c r="F50" s="49">
        <v>1</v>
      </c>
      <c r="G50" s="73" t="s">
        <v>39</v>
      </c>
      <c r="H50" s="74"/>
    </row>
    <row r="51" spans="1:8" ht="15" thickBot="1" x14ac:dyDescent="0.4">
      <c r="A51" s="6" t="s">
        <v>48</v>
      </c>
      <c r="B51" s="7">
        <v>24500</v>
      </c>
      <c r="C51" s="46">
        <v>0.15</v>
      </c>
      <c r="D51" s="47">
        <v>2019</v>
      </c>
      <c r="E51" s="48">
        <v>43821</v>
      </c>
      <c r="F51" s="46">
        <v>1</v>
      </c>
      <c r="G51" s="75" t="s">
        <v>39</v>
      </c>
      <c r="H51" s="76"/>
    </row>
    <row r="52" spans="1:8" ht="15" thickBot="1" x14ac:dyDescent="0.4">
      <c r="A52" s="8" t="s">
        <v>49</v>
      </c>
      <c r="B52" s="9">
        <v>50000</v>
      </c>
      <c r="C52" s="49">
        <v>0.17</v>
      </c>
      <c r="D52" s="50">
        <v>2020</v>
      </c>
      <c r="E52" s="50">
        <v>2021</v>
      </c>
      <c r="F52" s="49">
        <v>1</v>
      </c>
      <c r="G52" s="73" t="s">
        <v>39</v>
      </c>
      <c r="H52" s="74"/>
    </row>
    <row r="53" spans="1:8" ht="25" customHeight="1" x14ac:dyDescent="0.35">
      <c r="A53" s="112" t="s">
        <v>50</v>
      </c>
      <c r="B53" s="114">
        <v>417850</v>
      </c>
      <c r="C53" s="116">
        <v>0.16</v>
      </c>
      <c r="D53" s="118">
        <v>2020</v>
      </c>
      <c r="E53" s="118">
        <v>2021</v>
      </c>
      <c r="F53" s="116">
        <v>1</v>
      </c>
      <c r="G53" s="110" t="s">
        <v>17</v>
      </c>
      <c r="H53" s="111"/>
    </row>
    <row r="54" spans="1:8" ht="15" thickBot="1" x14ac:dyDescent="0.4">
      <c r="A54" s="113"/>
      <c r="B54" s="115"/>
      <c r="C54" s="117"/>
      <c r="D54" s="119"/>
      <c r="E54" s="119"/>
      <c r="F54" s="117"/>
      <c r="G54" s="71"/>
      <c r="H54" s="72"/>
    </row>
    <row r="55" spans="1:8" ht="15" thickBot="1" x14ac:dyDescent="0.4">
      <c r="A55" s="8" t="s">
        <v>51</v>
      </c>
      <c r="B55" s="12">
        <v>705490.5</v>
      </c>
      <c r="C55" s="49">
        <v>0.18</v>
      </c>
      <c r="D55" s="50">
        <v>2022</v>
      </c>
      <c r="E55" s="50">
        <v>2022</v>
      </c>
      <c r="F55" s="49">
        <v>1</v>
      </c>
      <c r="G55" s="73" t="s">
        <v>17</v>
      </c>
      <c r="H55" s="74"/>
    </row>
    <row r="56" spans="1:8" ht="15" thickBot="1" x14ac:dyDescent="0.4">
      <c r="A56" s="6" t="s">
        <v>52</v>
      </c>
      <c r="B56" s="11">
        <v>417.85</v>
      </c>
      <c r="C56" s="46">
        <v>0.19</v>
      </c>
      <c r="D56" s="47">
        <v>2021</v>
      </c>
      <c r="E56" s="47">
        <v>2022</v>
      </c>
      <c r="F56" s="46">
        <v>1</v>
      </c>
      <c r="G56" s="75" t="s">
        <v>53</v>
      </c>
      <c r="H56" s="76"/>
    </row>
    <row r="57" spans="1:8" ht="15" thickBot="1" x14ac:dyDescent="0.4">
      <c r="A57" s="29" t="s">
        <v>54</v>
      </c>
      <c r="B57" s="9">
        <v>28600</v>
      </c>
      <c r="C57" s="49">
        <v>0.18</v>
      </c>
      <c r="D57" s="50">
        <v>2022</v>
      </c>
      <c r="E57" s="50">
        <v>2023</v>
      </c>
      <c r="F57" s="49">
        <v>1</v>
      </c>
      <c r="G57" s="73" t="s">
        <v>55</v>
      </c>
      <c r="H57" s="74"/>
    </row>
    <row r="58" spans="1:8" ht="15" thickBot="1" x14ac:dyDescent="0.4">
      <c r="A58" s="28" t="s">
        <v>56</v>
      </c>
      <c r="B58" s="7">
        <v>4936</v>
      </c>
      <c r="C58" s="46">
        <v>0.17</v>
      </c>
      <c r="D58" s="47">
        <v>2022</v>
      </c>
      <c r="E58" s="47">
        <v>2023</v>
      </c>
      <c r="F58" s="46">
        <v>1</v>
      </c>
      <c r="G58" s="75" t="s">
        <v>39</v>
      </c>
      <c r="H58" s="76"/>
    </row>
    <row r="59" spans="1:8" ht="15" thickBot="1" x14ac:dyDescent="0.4">
      <c r="A59" s="13" t="s">
        <v>57</v>
      </c>
      <c r="B59" s="9">
        <v>773550</v>
      </c>
      <c r="C59" s="49">
        <v>0.18</v>
      </c>
      <c r="D59" s="50">
        <v>2020</v>
      </c>
      <c r="E59" s="50">
        <v>2021</v>
      </c>
      <c r="F59" s="49">
        <v>1</v>
      </c>
      <c r="G59" s="73" t="s">
        <v>58</v>
      </c>
      <c r="H59" s="74"/>
    </row>
    <row r="60" spans="1:8" ht="15" thickBot="1" x14ac:dyDescent="0.4">
      <c r="A60" s="14" t="s">
        <v>59</v>
      </c>
      <c r="B60" s="7">
        <v>1000000</v>
      </c>
      <c r="C60" s="46">
        <v>0.18</v>
      </c>
      <c r="D60" s="47">
        <v>2022</v>
      </c>
      <c r="E60" s="47">
        <v>2022</v>
      </c>
      <c r="F60" s="46">
        <v>1</v>
      </c>
      <c r="G60" s="75" t="s">
        <v>7</v>
      </c>
      <c r="H60" s="76"/>
    </row>
    <row r="61" spans="1:8" ht="15" thickBot="1" x14ac:dyDescent="0.4">
      <c r="A61" s="29" t="s">
        <v>60</v>
      </c>
      <c r="B61" s="9">
        <v>207300</v>
      </c>
      <c r="C61" s="49">
        <v>0.19</v>
      </c>
      <c r="D61" s="50">
        <v>2022</v>
      </c>
      <c r="E61" s="50">
        <v>2023</v>
      </c>
      <c r="F61" s="49">
        <v>1</v>
      </c>
      <c r="G61" s="73" t="s">
        <v>39</v>
      </c>
      <c r="H61" s="74"/>
    </row>
    <row r="62" spans="1:8" ht="15" thickBot="1" x14ac:dyDescent="0.4">
      <c r="A62" s="15" t="s">
        <v>61</v>
      </c>
      <c r="B62" s="16">
        <v>66817.8</v>
      </c>
      <c r="C62" s="46">
        <v>0.19</v>
      </c>
      <c r="D62" s="47">
        <v>2023</v>
      </c>
      <c r="E62" s="47">
        <v>2024</v>
      </c>
      <c r="F62" s="46">
        <v>1</v>
      </c>
      <c r="G62" s="75" t="s">
        <v>62</v>
      </c>
      <c r="H62" s="76"/>
    </row>
    <row r="63" spans="1:8" ht="21.5" thickBot="1" x14ac:dyDescent="0.4">
      <c r="A63" s="31" t="s">
        <v>71</v>
      </c>
      <c r="B63" s="9">
        <v>27480</v>
      </c>
      <c r="C63" s="49">
        <v>0.2</v>
      </c>
      <c r="D63" s="50">
        <v>2025</v>
      </c>
      <c r="E63" s="50">
        <v>2030</v>
      </c>
      <c r="F63" s="49">
        <v>1</v>
      </c>
      <c r="G63" s="73" t="s">
        <v>77</v>
      </c>
      <c r="H63" s="74"/>
    </row>
    <row r="64" spans="1:8" ht="21.5" thickBot="1" x14ac:dyDescent="0.4">
      <c r="A64" s="34" t="s">
        <v>72</v>
      </c>
      <c r="B64" s="32">
        <v>74025</v>
      </c>
      <c r="C64" s="52">
        <v>0.3</v>
      </c>
      <c r="D64" s="47">
        <v>2024</v>
      </c>
      <c r="E64" s="47">
        <v>2027</v>
      </c>
      <c r="F64" s="46">
        <v>1</v>
      </c>
      <c r="G64" s="75" t="s">
        <v>13</v>
      </c>
      <c r="H64" s="76"/>
    </row>
    <row r="65" spans="1:8" ht="21.5" thickBot="1" x14ac:dyDescent="0.4">
      <c r="A65" s="35" t="s">
        <v>73</v>
      </c>
      <c r="B65" s="9">
        <v>65113.5</v>
      </c>
      <c r="C65" s="49">
        <v>0.25</v>
      </c>
      <c r="D65" s="50">
        <v>2025</v>
      </c>
      <c r="E65" s="50">
        <v>2025</v>
      </c>
      <c r="F65" s="49">
        <v>1</v>
      </c>
      <c r="G65" s="73" t="s">
        <v>13</v>
      </c>
      <c r="H65" s="74"/>
    </row>
    <row r="66" spans="1:8" ht="21.5" thickBot="1" x14ac:dyDescent="0.4">
      <c r="A66" s="34" t="s">
        <v>74</v>
      </c>
      <c r="B66" s="36">
        <v>8910</v>
      </c>
      <c r="C66" s="46">
        <v>0.15</v>
      </c>
      <c r="D66" s="47">
        <v>2025</v>
      </c>
      <c r="E66" s="47">
        <v>2025</v>
      </c>
      <c r="F66" s="46">
        <v>1</v>
      </c>
      <c r="G66" s="75" t="s">
        <v>13</v>
      </c>
      <c r="H66" s="76"/>
    </row>
    <row r="67" spans="1:8" ht="15" thickBot="1" x14ac:dyDescent="0.4">
      <c r="A67" s="17" t="s">
        <v>75</v>
      </c>
      <c r="B67" s="9">
        <v>23318.75</v>
      </c>
      <c r="C67" s="49">
        <v>0.2</v>
      </c>
      <c r="D67" s="50">
        <v>2024</v>
      </c>
      <c r="E67" s="50">
        <v>2026</v>
      </c>
      <c r="F67" s="49">
        <v>1</v>
      </c>
      <c r="G67" s="73" t="s">
        <v>13</v>
      </c>
      <c r="H67" s="74"/>
    </row>
    <row r="68" spans="1:8" ht="15" thickBot="1" x14ac:dyDescent="0.4">
      <c r="A68" s="33" t="s">
        <v>76</v>
      </c>
      <c r="B68" s="16">
        <v>38800</v>
      </c>
      <c r="C68" s="46">
        <v>0.3</v>
      </c>
      <c r="D68" s="47">
        <v>2025</v>
      </c>
      <c r="E68" s="47">
        <v>2025</v>
      </c>
      <c r="F68" s="46">
        <v>1</v>
      </c>
      <c r="G68" s="75" t="s">
        <v>13</v>
      </c>
      <c r="H68" s="76"/>
    </row>
    <row r="69" spans="1:8" ht="15" thickBot="1" x14ac:dyDescent="0.4">
      <c r="A69" s="17" t="s">
        <v>8</v>
      </c>
      <c r="B69" s="18">
        <f>SUM(B17:B68)</f>
        <v>5261018.3999999994</v>
      </c>
      <c r="C69" s="10"/>
      <c r="D69" s="10"/>
      <c r="E69" s="10"/>
      <c r="F69" s="10"/>
      <c r="G69" s="19"/>
      <c r="H69" s="20"/>
    </row>
    <row r="70" spans="1:8" x14ac:dyDescent="0.35">
      <c r="A70" s="1"/>
    </row>
    <row r="71" spans="1:8" x14ac:dyDescent="0.35">
      <c r="A71" s="1"/>
    </row>
    <row r="72" spans="1:8" x14ac:dyDescent="0.35">
      <c r="A72" s="1"/>
    </row>
    <row r="73" spans="1:8" ht="16" thickBot="1" x14ac:dyDescent="0.4">
      <c r="A73" s="107" t="s">
        <v>63</v>
      </c>
      <c r="B73" s="107"/>
    </row>
    <row r="74" spans="1:8" ht="18.5" thickBot="1" x14ac:dyDescent="0.4">
      <c r="A74" s="108" t="s">
        <v>1</v>
      </c>
      <c r="B74" s="109"/>
      <c r="C74" s="21" t="s">
        <v>6</v>
      </c>
      <c r="D74" s="21" t="s">
        <v>64</v>
      </c>
      <c r="E74" s="21" t="s">
        <v>89</v>
      </c>
      <c r="F74" s="22" t="s">
        <v>65</v>
      </c>
      <c r="G74" s="22" t="s">
        <v>107</v>
      </c>
    </row>
    <row r="75" spans="1:8" ht="15" thickBot="1" x14ac:dyDescent="0.4">
      <c r="A75" s="105" t="s">
        <v>67</v>
      </c>
      <c r="B75" s="106"/>
      <c r="C75" s="23" t="s">
        <v>68</v>
      </c>
      <c r="D75" s="23">
        <v>75000</v>
      </c>
      <c r="E75" s="24">
        <v>2026</v>
      </c>
      <c r="F75" s="25" t="s">
        <v>69</v>
      </c>
      <c r="G75" s="25">
        <f>D75*20%</f>
        <v>15000</v>
      </c>
    </row>
    <row r="76" spans="1:8" ht="15" thickBot="1" x14ac:dyDescent="0.4">
      <c r="A76" s="101" t="s">
        <v>88</v>
      </c>
      <c r="B76" s="102"/>
      <c r="C76" s="23" t="s">
        <v>68</v>
      </c>
      <c r="D76" s="23">
        <v>90000</v>
      </c>
      <c r="E76" s="24">
        <v>2026</v>
      </c>
      <c r="F76" s="25" t="s">
        <v>69</v>
      </c>
      <c r="G76" s="25">
        <f>D76*20%</f>
        <v>18000</v>
      </c>
    </row>
    <row r="77" spans="1:8" ht="15" thickBot="1" x14ac:dyDescent="0.4">
      <c r="A77" s="103" t="s">
        <v>90</v>
      </c>
      <c r="B77" s="104"/>
      <c r="C77" s="23" t="s">
        <v>93</v>
      </c>
      <c r="D77" s="26">
        <v>750000</v>
      </c>
      <c r="E77" s="24">
        <v>2026</v>
      </c>
      <c r="F77" s="25" t="s">
        <v>94</v>
      </c>
      <c r="G77" s="25">
        <v>75000</v>
      </c>
    </row>
    <row r="78" spans="1:8" ht="15" thickBot="1" x14ac:dyDescent="0.4">
      <c r="A78" s="103" t="s">
        <v>91</v>
      </c>
      <c r="B78" s="104"/>
      <c r="C78" s="23" t="s">
        <v>53</v>
      </c>
      <c r="D78" s="26">
        <v>300000</v>
      </c>
      <c r="E78" s="24">
        <v>2026</v>
      </c>
      <c r="F78" s="25" t="s">
        <v>94</v>
      </c>
      <c r="G78" s="25">
        <v>30000</v>
      </c>
    </row>
    <row r="79" spans="1:8" ht="15" thickBot="1" x14ac:dyDescent="0.4">
      <c r="A79" s="103" t="s">
        <v>92</v>
      </c>
      <c r="B79" s="104"/>
      <c r="C79" s="23" t="s">
        <v>68</v>
      </c>
      <c r="D79" s="26">
        <v>474000</v>
      </c>
      <c r="E79" s="24">
        <v>2026</v>
      </c>
      <c r="F79" s="25" t="s">
        <v>94</v>
      </c>
      <c r="G79" s="25">
        <f>D79*20%</f>
        <v>94800</v>
      </c>
    </row>
    <row r="80" spans="1:8" ht="15" thickBot="1" x14ac:dyDescent="0.4">
      <c r="A80" s="103" t="s">
        <v>95</v>
      </c>
      <c r="B80" s="104"/>
      <c r="C80" s="23" t="s">
        <v>96</v>
      </c>
      <c r="D80" s="26">
        <v>1150000</v>
      </c>
      <c r="E80" s="24">
        <v>2026</v>
      </c>
      <c r="F80" s="25" t="s">
        <v>94</v>
      </c>
      <c r="G80" s="25">
        <v>115000</v>
      </c>
    </row>
    <row r="81" spans="1:7" ht="15" thickBot="1" x14ac:dyDescent="0.4">
      <c r="A81" s="105" t="s">
        <v>97</v>
      </c>
      <c r="B81" s="106"/>
      <c r="C81" s="23" t="s">
        <v>79</v>
      </c>
      <c r="D81" s="26">
        <v>30000</v>
      </c>
      <c r="E81" s="24">
        <v>2026</v>
      </c>
      <c r="F81" s="25" t="s">
        <v>94</v>
      </c>
      <c r="G81" s="25">
        <v>3000</v>
      </c>
    </row>
    <row r="82" spans="1:7" ht="15" thickBot="1" x14ac:dyDescent="0.4">
      <c r="A82" s="101" t="s">
        <v>98</v>
      </c>
      <c r="B82" s="102"/>
      <c r="C82" s="23" t="s">
        <v>79</v>
      </c>
      <c r="D82" s="26">
        <v>30000</v>
      </c>
      <c r="E82" s="24">
        <v>2026</v>
      </c>
      <c r="F82" s="25" t="s">
        <v>66</v>
      </c>
      <c r="G82" s="25">
        <v>3000</v>
      </c>
    </row>
    <row r="83" spans="1:7" ht="15" thickBot="1" x14ac:dyDescent="0.4">
      <c r="A83" s="101" t="s">
        <v>99</v>
      </c>
      <c r="B83" s="102"/>
      <c r="C83" s="23" t="s">
        <v>79</v>
      </c>
      <c r="D83" s="26">
        <v>30000</v>
      </c>
      <c r="E83" s="24">
        <v>2026</v>
      </c>
      <c r="F83" s="25" t="s">
        <v>66</v>
      </c>
      <c r="G83" s="25">
        <v>3000</v>
      </c>
    </row>
    <row r="84" spans="1:7" ht="15" thickBot="1" x14ac:dyDescent="0.4">
      <c r="A84" s="101" t="s">
        <v>101</v>
      </c>
      <c r="B84" s="102"/>
      <c r="C84" s="23" t="s">
        <v>79</v>
      </c>
      <c r="D84" s="26">
        <v>30000</v>
      </c>
      <c r="E84" s="24">
        <v>2026</v>
      </c>
      <c r="F84" s="25" t="s">
        <v>66</v>
      </c>
      <c r="G84" s="25">
        <v>3000</v>
      </c>
    </row>
    <row r="85" spans="1:7" ht="15" thickBot="1" x14ac:dyDescent="0.4">
      <c r="A85" s="101" t="s">
        <v>100</v>
      </c>
      <c r="B85" s="102"/>
      <c r="C85" s="23" t="s">
        <v>106</v>
      </c>
      <c r="D85" s="26">
        <v>40000</v>
      </c>
      <c r="E85" s="24">
        <v>2026</v>
      </c>
      <c r="F85" s="25" t="s">
        <v>66</v>
      </c>
      <c r="G85" s="25">
        <v>4000</v>
      </c>
    </row>
    <row r="86" spans="1:7" ht="15" thickBot="1" x14ac:dyDescent="0.4">
      <c r="A86" s="101" t="s">
        <v>104</v>
      </c>
      <c r="B86" s="102"/>
      <c r="C86" s="23" t="s">
        <v>105</v>
      </c>
      <c r="D86" s="26">
        <v>150000</v>
      </c>
      <c r="E86" s="24">
        <v>2026</v>
      </c>
      <c r="F86" s="25" t="s">
        <v>66</v>
      </c>
      <c r="G86" s="25">
        <v>15000</v>
      </c>
    </row>
    <row r="87" spans="1:7" ht="15" thickBot="1" x14ac:dyDescent="0.4">
      <c r="A87" s="101" t="s">
        <v>102</v>
      </c>
      <c r="B87" s="102"/>
      <c r="C87" s="23" t="s">
        <v>103</v>
      </c>
      <c r="D87" s="45">
        <v>40000</v>
      </c>
      <c r="E87" s="24">
        <v>2026</v>
      </c>
      <c r="F87" s="25" t="s">
        <v>66</v>
      </c>
      <c r="G87" s="45">
        <v>4000</v>
      </c>
    </row>
    <row r="88" spans="1:7" ht="15" thickBot="1" x14ac:dyDescent="0.4">
      <c r="A88" s="99" t="s">
        <v>70</v>
      </c>
      <c r="B88" s="100"/>
      <c r="C88" s="23"/>
      <c r="D88" s="45">
        <f>SUM(D75:D87)</f>
        <v>3189000</v>
      </c>
      <c r="E88" s="24"/>
      <c r="F88" s="24"/>
      <c r="G88" s="45">
        <f>SUM(G75:G87)</f>
        <v>382800</v>
      </c>
    </row>
    <row r="89" spans="1:7" x14ac:dyDescent="0.35">
      <c r="A89" s="27"/>
    </row>
  </sheetData>
  <mergeCells count="109">
    <mergeCell ref="G63:H63"/>
    <mergeCell ref="G64:H64"/>
    <mergeCell ref="G65:H65"/>
    <mergeCell ref="G66:H66"/>
    <mergeCell ref="G67:H67"/>
    <mergeCell ref="G68:H68"/>
    <mergeCell ref="A82:B82"/>
    <mergeCell ref="A87:B87"/>
    <mergeCell ref="G53:H54"/>
    <mergeCell ref="G55:H55"/>
    <mergeCell ref="G56:H56"/>
    <mergeCell ref="A53:A54"/>
    <mergeCell ref="B53:B54"/>
    <mergeCell ref="C53:C54"/>
    <mergeCell ref="D53:D54"/>
    <mergeCell ref="E53:E54"/>
    <mergeCell ref="F53:F54"/>
    <mergeCell ref="G62:H62"/>
    <mergeCell ref="G57:H57"/>
    <mergeCell ref="G58:H58"/>
    <mergeCell ref="A84:B84"/>
    <mergeCell ref="A85:B85"/>
    <mergeCell ref="A86:B86"/>
    <mergeCell ref="A88:B88"/>
    <mergeCell ref="A76:B76"/>
    <mergeCell ref="A77:B77"/>
    <mergeCell ref="A78:B78"/>
    <mergeCell ref="A75:B75"/>
    <mergeCell ref="A80:B80"/>
    <mergeCell ref="A81:B81"/>
    <mergeCell ref="A73:B73"/>
    <mergeCell ref="A74:B74"/>
    <mergeCell ref="A79:B79"/>
    <mergeCell ref="A83:B83"/>
    <mergeCell ref="G59:H59"/>
    <mergeCell ref="G60:H60"/>
    <mergeCell ref="G61:H61"/>
    <mergeCell ref="G47:H47"/>
    <mergeCell ref="G48:H48"/>
    <mergeCell ref="G49:H49"/>
    <mergeCell ref="G50:H50"/>
    <mergeCell ref="G51:H51"/>
    <mergeCell ref="G52:H52"/>
    <mergeCell ref="G44:H44"/>
    <mergeCell ref="A45:A46"/>
    <mergeCell ref="B45:B46"/>
    <mergeCell ref="C45:C46"/>
    <mergeCell ref="D45:D46"/>
    <mergeCell ref="E45:E46"/>
    <mergeCell ref="F45:F46"/>
    <mergeCell ref="G45:H46"/>
    <mergeCell ref="G38:H38"/>
    <mergeCell ref="G39:H39"/>
    <mergeCell ref="G40:H40"/>
    <mergeCell ref="G41:H41"/>
    <mergeCell ref="G42:H42"/>
    <mergeCell ref="G43:H43"/>
    <mergeCell ref="C26:C27"/>
    <mergeCell ref="D26:D27"/>
    <mergeCell ref="E26:E27"/>
    <mergeCell ref="G32:H32"/>
    <mergeCell ref="G33:H33"/>
    <mergeCell ref="G34:H34"/>
    <mergeCell ref="G35:H35"/>
    <mergeCell ref="G36:H36"/>
    <mergeCell ref="G37:H37"/>
    <mergeCell ref="G28:H28"/>
    <mergeCell ref="G29:H29"/>
    <mergeCell ref="G30:H30"/>
    <mergeCell ref="G31:H31"/>
    <mergeCell ref="F14:F16"/>
    <mergeCell ref="G14:H16"/>
    <mergeCell ref="G17:H17"/>
    <mergeCell ref="G18:H18"/>
    <mergeCell ref="G19:H19"/>
    <mergeCell ref="G20:H20"/>
    <mergeCell ref="F26:F27"/>
    <mergeCell ref="G26:H27"/>
    <mergeCell ref="A11:B12"/>
    <mergeCell ref="C11:C12"/>
    <mergeCell ref="D11:D12"/>
    <mergeCell ref="E11:E12"/>
    <mergeCell ref="A14:A16"/>
    <mergeCell ref="B14:B16"/>
    <mergeCell ref="C14:C16"/>
    <mergeCell ref="D14:D16"/>
    <mergeCell ref="E14:E16"/>
    <mergeCell ref="G21:H21"/>
    <mergeCell ref="G22:H22"/>
    <mergeCell ref="G23:H23"/>
    <mergeCell ref="G24:H24"/>
    <mergeCell ref="G25:H25"/>
    <mergeCell ref="A26:A27"/>
    <mergeCell ref="B26:B27"/>
    <mergeCell ref="A3:B3"/>
    <mergeCell ref="A4:A5"/>
    <mergeCell ref="A6:A7"/>
    <mergeCell ref="B4:B5"/>
    <mergeCell ref="C4:C5"/>
    <mergeCell ref="G4:G5"/>
    <mergeCell ref="B6:B7"/>
    <mergeCell ref="C6:C7"/>
    <mergeCell ref="G6:G7"/>
    <mergeCell ref="D4:D5"/>
    <mergeCell ref="E4:E5"/>
    <mergeCell ref="F4:F5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جدول مشاريع المجموعة</vt:lpstr>
      <vt:lpstr>'جدول مشاريع المجموعة'!_Hlk124323123</vt:lpstr>
      <vt:lpstr>'جدول مشاريع المجموعة'!_Hlk86044064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AGES ACCOUNTS</cp:lastModifiedBy>
  <dcterms:created xsi:type="dcterms:W3CDTF">2025-04-29T18:23:56Z</dcterms:created>
  <dcterms:modified xsi:type="dcterms:W3CDTF">2026-05-06T05:50:31Z</dcterms:modified>
</cp:coreProperties>
</file>